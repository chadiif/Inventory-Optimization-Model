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_Master" sheetId="1" r:id="rId5"/>
    <sheet state="visible" name="Dashboard" sheetId="2" r:id="rId6"/>
    <sheet state="hidden" name="Calc_Data" sheetId="3" r:id="rId7"/>
  </sheets>
  <definedNames/>
  <calcPr/>
</workbook>
</file>

<file path=xl/sharedStrings.xml><?xml version="1.0" encoding="utf-8"?>
<sst xmlns="http://schemas.openxmlformats.org/spreadsheetml/2006/main" count="25" uniqueCount="23">
  <si>
    <t>Total SKUs</t>
  </si>
  <si>
    <t>Items Requiring Reorder</t>
  </si>
  <si>
    <t>Total Overstocked Items</t>
  </si>
  <si>
    <t>Healthy Items</t>
  </si>
  <si>
    <t>SKU_ID</t>
  </si>
  <si>
    <t>Product_Category</t>
  </si>
  <si>
    <t>Unit_Cost ($)</t>
  </si>
  <si>
    <t>Lead_Time_Days</t>
  </si>
  <si>
    <t>Avg_Daily_Sales</t>
  </si>
  <si>
    <t>Sales_Std_Dev</t>
  </si>
  <si>
    <t>Current_Stock</t>
  </si>
  <si>
    <t>Safety_Stock</t>
  </si>
  <si>
    <t>Reorder_Point</t>
  </si>
  <si>
    <t>Stock_Status</t>
  </si>
  <si>
    <t>SKU-101</t>
  </si>
  <si>
    <t>Electronics</t>
  </si>
  <si>
    <t>SKU-102</t>
  </si>
  <si>
    <t>Apparel</t>
  </si>
  <si>
    <t>SKU-103</t>
  </si>
  <si>
    <t>SKU-104</t>
  </si>
  <si>
    <t>Home &amp; Kitchen</t>
  </si>
  <si>
    <t>SKU-105</t>
  </si>
  <si>
    <t>Inventory Optimization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</si>
</sst>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Montserrat"/>
    </font>
    <font>
      <sz val="10.0"/>
      <color rgb="FF181C1F"/>
      <name val="Roboto"/>
    </font>
    <font>
      <b/>
      <sz val="18.0"/>
      <color rgb="FF385F8F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385F8F"/>
        <bgColor rgb="FF385F8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right" readingOrder="0"/>
    </xf>
    <xf borderId="1" fillId="0" fontId="3" numFmtId="0" xfId="0" applyBorder="1" applyFont="1"/>
    <xf borderId="0" fillId="3" fontId="4" numFmtId="0" xfId="0" applyAlignment="1" applyFill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7F8FF"/>
          <bgColor rgb="FFF7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Inventory_Maste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1809750" cy="1143000"/>
    <xdr:pic>
      <xdr:nvPicPr>
        <xdr:cNvPr id="889838491" name="Chart1" title="Total SKU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1809750" cy="1143000"/>
    <xdr:pic>
      <xdr:nvPicPr>
        <xdr:cNvPr id="1366960015" name="Chart2" title="Items Requiring Reorder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1809750" cy="1143000"/>
    <xdr:pic>
      <xdr:nvPicPr>
        <xdr:cNvPr id="831869389" name="Chart3" title="Total Overstocked Item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1809750" cy="1143000"/>
    <xdr:pic>
      <xdr:nvPicPr>
        <xdr:cNvPr id="1292802267" name="Chart4" title="Healthy Item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J6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Inventory_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8.25"/>
    <col customWidth="1" min="4" max="4" width="17.5"/>
    <col customWidth="1" min="5" max="5" width="20.5"/>
    <col customWidth="1" min="6" max="6" width="20.75"/>
    <col customWidth="1" min="7" max="7" width="15.88"/>
    <col customWidth="1" min="8" max="8" width="15.25"/>
    <col customWidth="1" min="9" max="9" width="16.63"/>
    <col customWidth="1" min="10" max="10" width="18.13"/>
  </cols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</row>
    <row r="2">
      <c r="A2" s="4" t="s">
        <v>14</v>
      </c>
      <c r="B2" s="4" t="s">
        <v>15</v>
      </c>
      <c r="C2" s="5">
        <v>45.0</v>
      </c>
      <c r="D2" s="4">
        <v>10.0</v>
      </c>
      <c r="E2" s="4">
        <v>120.0</v>
      </c>
      <c r="F2" s="4">
        <v>25.0</v>
      </c>
      <c r="G2" s="4">
        <v>850.0</v>
      </c>
      <c r="H2" s="6">
        <f t="shared" ref="H2:H6" si="1">ROUNDUP(1.65 * F2 * SQRT(D2), 0)</f>
        <v>131</v>
      </c>
      <c r="I2" s="6">
        <f t="shared" ref="I2:I6" si="2">(E2 * D2) + H2</f>
        <v>1331</v>
      </c>
      <c r="J2" s="6" t="str">
        <f t="shared" ref="J2:J6" si="3">IF(G2 &lt;= I2, "REORDER REQUIRED", IF(G2 &gt; (I2 * 2), "OVERSTOCKED", "HEALTHY"))</f>
        <v>REORDER REQUIRED</v>
      </c>
    </row>
    <row r="3">
      <c r="A3" s="4" t="s">
        <v>16</v>
      </c>
      <c r="B3" s="4" t="s">
        <v>17</v>
      </c>
      <c r="C3" s="5">
        <v>15.0</v>
      </c>
      <c r="D3" s="4">
        <v>7.0</v>
      </c>
      <c r="E3" s="4">
        <v>250.0</v>
      </c>
      <c r="F3" s="4">
        <v>40.0</v>
      </c>
      <c r="G3" s="4">
        <v>1200.0</v>
      </c>
      <c r="H3" s="6">
        <f t="shared" si="1"/>
        <v>175</v>
      </c>
      <c r="I3" s="6">
        <f t="shared" si="2"/>
        <v>1925</v>
      </c>
      <c r="J3" s="6" t="str">
        <f t="shared" si="3"/>
        <v>REORDER REQUIRED</v>
      </c>
    </row>
    <row r="4">
      <c r="A4" s="4" t="s">
        <v>18</v>
      </c>
      <c r="B4" s="4" t="s">
        <v>15</v>
      </c>
      <c r="C4" s="5">
        <v>120.0</v>
      </c>
      <c r="D4" s="4">
        <v>14.0</v>
      </c>
      <c r="E4" s="4">
        <v>45.0</v>
      </c>
      <c r="F4" s="4">
        <v>12.0</v>
      </c>
      <c r="G4" s="4">
        <v>300.0</v>
      </c>
      <c r="H4" s="6">
        <f t="shared" si="1"/>
        <v>75</v>
      </c>
      <c r="I4" s="6">
        <f t="shared" si="2"/>
        <v>705</v>
      </c>
      <c r="J4" s="6" t="str">
        <f t="shared" si="3"/>
        <v>REORDER REQUIRED</v>
      </c>
    </row>
    <row r="5">
      <c r="A5" s="4" t="s">
        <v>19</v>
      </c>
      <c r="B5" s="4" t="s">
        <v>20</v>
      </c>
      <c r="C5" s="5">
        <v>30.0</v>
      </c>
      <c r="D5" s="4">
        <v>5.0</v>
      </c>
      <c r="E5" s="4">
        <v>180.0</v>
      </c>
      <c r="F5" s="4">
        <v>30.0</v>
      </c>
      <c r="G5" s="4">
        <v>2100.0</v>
      </c>
      <c r="H5" s="6">
        <f t="shared" si="1"/>
        <v>111</v>
      </c>
      <c r="I5" s="6">
        <f t="shared" si="2"/>
        <v>1011</v>
      </c>
      <c r="J5" s="6" t="str">
        <f t="shared" si="3"/>
        <v>OVERSTOCKED</v>
      </c>
    </row>
    <row r="6">
      <c r="A6" s="4" t="s">
        <v>21</v>
      </c>
      <c r="B6" s="4" t="s">
        <v>17</v>
      </c>
      <c r="C6" s="5">
        <v>22.0</v>
      </c>
      <c r="D6" s="4">
        <v>8.0</v>
      </c>
      <c r="E6" s="4">
        <v>95.0</v>
      </c>
      <c r="F6" s="4">
        <v>18.0</v>
      </c>
      <c r="G6" s="4">
        <v>400.0</v>
      </c>
      <c r="H6" s="6">
        <f t="shared" si="1"/>
        <v>85</v>
      </c>
      <c r="I6" s="6">
        <f t="shared" si="2"/>
        <v>845</v>
      </c>
      <c r="J6" s="6" t="str">
        <f t="shared" si="3"/>
        <v>REORDER REQUIRED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7" t="s">
        <v>22</v>
      </c>
    </row>
  </sheetData>
  <mergeCells count="1">
    <mergeCell ref="B2:I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f>COUNTA(Inventory_Master!A2:A6)</f>
        <v>5</v>
      </c>
      <c r="B2" s="2">
        <f>COUNTIF(Inventory_Master!J2:J6, "REORDER REQUIRED")</f>
        <v>4</v>
      </c>
      <c r="C2" s="2">
        <f>COUNTIF(Inventory_Master!J2:J6, "OVERSTOCKED")</f>
        <v>1</v>
      </c>
      <c r="D2" s="2">
        <f>COUNTIF(Inventory_Master!J2:J6, "HEALTHY")</f>
        <v>0</v>
      </c>
    </row>
  </sheetData>
  <drawing r:id="rId1"/>
</worksheet>
</file>